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лькулятор нор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<sst xmlns="http://schemas.openxmlformats.org/spreadsheetml/2006/main" count="73" uniqueCount="69">
  <si>
    <t xml:space="preserve">КАЛЬКУЛЯТОР ТРУДОЁМКОСТИ СБОРКИ ШАУ  (параметрическая модель, baseline)</t>
  </si>
  <si>
    <t xml:space="preserve">Жёлтые ячейки (синий шрифт) — вводимые значения. Нормативы откалиброваны по эталону (Anchor) = 20 ч; уточняются по факт-часам из 1С.</t>
  </si>
  <si>
    <t xml:space="preserve">№</t>
  </si>
  <si>
    <t xml:space="preserve">Признак (фактор трудоёмкости)</t>
  </si>
  <si>
    <t xml:space="preserve">Кол-во</t>
  </si>
  <si>
    <t xml:space="preserve">Норматив, ч/ед</t>
  </si>
  <si>
    <t xml:space="preserve">Часы</t>
  </si>
  <si>
    <t xml:space="preserve">Примечание</t>
  </si>
  <si>
    <t xml:space="preserve">1. МЕХОБРАБОТКА</t>
  </si>
  <si>
    <t xml:space="preserve">Базовая подготовка корпуса/разметка</t>
  </si>
  <si>
    <t xml:space="preserve">Постоянная составляющая</t>
  </si>
  <si>
    <t xml:space="preserve">Монтажная панель (установка/раскладка)</t>
  </si>
  <si>
    <t xml:space="preserve">0=нет, 1=да</t>
  </si>
  <si>
    <t xml:space="preserve">Наклонная DIN-рейка (доп. мехобработка)</t>
  </si>
  <si>
    <t xml:space="preserve">Кабельные вводы / отверстия (свер./вырубка+сальник)</t>
  </si>
  <si>
    <t xml:space="preserve">Σ отверстий снизу/сверху</t>
  </si>
  <si>
    <t xml:space="preserve">Подытог этапа</t>
  </si>
  <si>
    <t xml:space="preserve">2. МОНТАЖ СИЛОВОЙ ЧАСТИ</t>
  </si>
  <si>
    <t xml:space="preserve">Автоматы до 63 А</t>
  </si>
  <si>
    <t xml:space="preserve">QF1-3 + SF1/SF2</t>
  </si>
  <si>
    <t xml:space="preserve">Выключатели нагрузки / рубильники</t>
  </si>
  <si>
    <t xml:space="preserve">QS1</t>
  </si>
  <si>
    <t xml:space="preserve">Контакторы / пускатели</t>
  </si>
  <si>
    <t xml:space="preserve">УЗО / дифавтоматы</t>
  </si>
  <si>
    <t xml:space="preserve">Преобразователи частоты — монтаж</t>
  </si>
  <si>
    <t xml:space="preserve">UZ1-3</t>
  </si>
  <si>
    <t xml:space="preserve">Устройства плавного пуска (УПП)</t>
  </si>
  <si>
    <t xml:space="preserve">Блоки питания</t>
  </si>
  <si>
    <t xml:space="preserve">GU1</t>
  </si>
  <si>
    <t xml:space="preserve">Реле контроля фаз</t>
  </si>
  <si>
    <t xml:space="preserve">KF1</t>
  </si>
  <si>
    <t xml:space="preserve">Промежуточные реле</t>
  </si>
  <si>
    <t xml:space="preserve">K1-K3</t>
  </si>
  <si>
    <t xml:space="preserve">Вентиляторы / решётки</t>
  </si>
  <si>
    <t xml:space="preserve">M1 (2 элемента)</t>
  </si>
  <si>
    <t xml:space="preserve">Термостаты / термореле</t>
  </si>
  <si>
    <t xml:space="preserve">BK1</t>
  </si>
  <si>
    <t xml:space="preserve">Держатели предохранителей</t>
  </si>
  <si>
    <t xml:space="preserve">XS1</t>
  </si>
  <si>
    <t xml:space="preserve">3. МОНТАЖ СЛАБОТОЧКИ / АВТОМАТИКИ</t>
  </si>
  <si>
    <t xml:space="preserve">ПЛК / программируемое реле — монтаж</t>
  </si>
  <si>
    <t xml:space="preserve">ПР103 (DD1)</t>
  </si>
  <si>
    <t xml:space="preserve">HMI-панель (вырез двери + монтаж)</t>
  </si>
  <si>
    <t xml:space="preserve">EKF 7" (DD2)</t>
  </si>
  <si>
    <t xml:space="preserve">Сигнальные лампы / кнопки на двери</t>
  </si>
  <si>
    <t xml:space="preserve">HL1</t>
  </si>
  <si>
    <t xml:space="preserve">Аналоговые цепи 4-20мА/0-10В (экран, косичка, заземл.)</t>
  </si>
  <si>
    <t xml:space="preserve">контуров датчиков</t>
  </si>
  <si>
    <t xml:space="preserve">Сетевые интерфейсы (Ethernet/RS-485/Modbus)</t>
  </si>
  <si>
    <t xml:space="preserve">Ethernet + RS-485</t>
  </si>
  <si>
    <t xml:space="preserve">4. КЛЕММНИКИ И МАРКИРОВКА</t>
  </si>
  <si>
    <t xml:space="preserve">Клеммы (установка + подключение 2 стороны)</t>
  </si>
  <si>
    <t xml:space="preserve">Klemsan XT1..XT9</t>
  </si>
  <si>
    <t xml:space="preserve">Маркировка/бирки (пропорц. клеммам+проводам)</t>
  </si>
  <si>
    <t xml:space="preserve">по числу клемм</t>
  </si>
  <si>
    <t xml:space="preserve">5. ПУСКОНАЛАДКА (ПНР)</t>
  </si>
  <si>
    <t xml:space="preserve">Базовая ПНР / проверка цепей</t>
  </si>
  <si>
    <t xml:space="preserve">Постоянная</t>
  </si>
  <si>
    <t xml:space="preserve">Настройка аналоговых контуров</t>
  </si>
  <si>
    <t xml:space="preserve">по числу цепей 4-20мА</t>
  </si>
  <si>
    <t xml:space="preserve">ПНР ПЧ: каскад по Modbus+ПЛК (НЕЛИНЕЙНО)</t>
  </si>
  <si>
    <t xml:space="preserve">—</t>
  </si>
  <si>
    <t xml:space="preserve">1 ПЧ=0,5ч; каскад 2-3 ПЧ=3ч (§8 ТЗ)</t>
  </si>
  <si>
    <t xml:space="preserve">Подытог ПНР</t>
  </si>
  <si>
    <t xml:space="preserve">БАЗОВАЯ ТРУДОЁМКОСТЬ (Σ этапов)</t>
  </si>
  <si>
    <t xml:space="preserve">Надбавка IP66: +30% к мехобработке (сальники/уплотнители)</t>
  </si>
  <si>
    <t xml:space="preserve">1=IP66, 0=ниже. Коэф. из §8 ТЗ</t>
  </si>
  <si>
    <t xml:space="preserve">ИТОГО, нормо-часов</t>
  </si>
  <si>
    <t xml:space="preserve">Эталон (Anchor): должно быть 18–22 ч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</si>
</sst>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n">
        <v>1</v>
      </c>
      <c r="B6" s="7" t="s">
        <v>9</v>
      </c>
      <c r="C6" s="8" t="n">
        <v>1</v>
      </c>
      <c r="D6" s="8" t="n">
        <v>1</v>
      </c>
      <c r="E6" s="9" t="n">
        <f aca="false">C6*D6</f>
        <v>1</v>
      </c>
      <c r="F6" s="10" t="s">
        <v>10</v>
      </c>
    </row>
    <row r="7" customFormat="false" ht="15" hidden="false" customHeight="true" outlineLevel="0" collapsed="false">
      <c r="A7" s="6" t="n">
        <v>2</v>
      </c>
      <c r="B7" s="7" t="s">
        <v>11</v>
      </c>
      <c r="C7" s="8" t="n">
        <v>1</v>
      </c>
      <c r="D7" s="8" t="n">
        <v>0.4</v>
      </c>
      <c r="E7" s="9" t="n">
        <f aca="false">C7*D7</f>
        <v>0.4</v>
      </c>
      <c r="F7" s="10" t="s">
        <v>12</v>
      </c>
    </row>
    <row r="8" customFormat="false" ht="15" hidden="false" customHeight="true" outlineLevel="0" collapsed="false">
      <c r="A8" s="6" t="n">
        <v>3</v>
      </c>
      <c r="B8" s="7" t="s">
        <v>13</v>
      </c>
      <c r="C8" s="8" t="n">
        <v>1</v>
      </c>
      <c r="D8" s="8" t="n">
        <v>0.3</v>
      </c>
      <c r="E8" s="9" t="n">
        <f aca="false">C8*D8</f>
        <v>0.3</v>
      </c>
      <c r="F8" s="10" t="s">
        <v>12</v>
      </c>
    </row>
    <row r="9" customFormat="false" ht="26.25" hidden="false" customHeight="true" outlineLevel="0" collapsed="false">
      <c r="A9" s="6" t="n">
        <v>4</v>
      </c>
      <c r="B9" s="7" t="s">
        <v>14</v>
      </c>
      <c r="C9" s="8" t="n">
        <v>19</v>
      </c>
      <c r="D9" s="8" t="n">
        <v>0.07</v>
      </c>
      <c r="E9" s="9" t="n">
        <f aca="false">C9*D9</f>
        <v>1.33</v>
      </c>
      <c r="F9" s="10" t="s">
        <v>15</v>
      </c>
    </row>
    <row r="10" customFormat="false" ht="15" hidden="false" customHeight="true" outlineLevel="0" collapsed="false">
      <c r="B10" s="11" t="s">
        <v>16</v>
      </c>
      <c r="E10" s="12" t="n">
        <f aca="false">SUM(E6:E9)</f>
        <v>3.03</v>
      </c>
    </row>
    <row r="11" customFormat="false" ht="15" hidden="false" customHeight="true" outlineLevel="0" collapsed="false">
      <c r="A11" s="5" t="s">
        <v>17</v>
      </c>
      <c r="B11" s="5"/>
      <c r="C11" s="5"/>
      <c r="D11" s="5"/>
      <c r="E11" s="5"/>
      <c r="F11" s="5"/>
    </row>
    <row r="12" customFormat="false" ht="15" hidden="false" customHeight="true" outlineLevel="0" collapsed="false">
      <c r="A12" s="6" t="n">
        <v>1</v>
      </c>
      <c r="B12" s="7" t="s">
        <v>18</v>
      </c>
      <c r="C12" s="8" t="n">
        <v>5</v>
      </c>
      <c r="D12" s="8" t="n">
        <v>0.18</v>
      </c>
      <c r="E12" s="9" t="n">
        <f aca="false">C12*D12</f>
        <v>0.9</v>
      </c>
      <c r="F12" s="10" t="s">
        <v>19</v>
      </c>
    </row>
    <row r="13" customFormat="false" ht="15" hidden="false" customHeight="true" outlineLevel="0" collapsed="false">
      <c r="A13" s="6" t="n">
        <v>2</v>
      </c>
      <c r="B13" s="7" t="s">
        <v>20</v>
      </c>
      <c r="C13" s="8" t="n">
        <v>1</v>
      </c>
      <c r="D13" s="8" t="n">
        <v>0.25</v>
      </c>
      <c r="E13" s="9" t="n">
        <f aca="false">C13*D13</f>
        <v>0.25</v>
      </c>
      <c r="F13" s="10" t="s">
        <v>21</v>
      </c>
    </row>
    <row r="14" customFormat="false" ht="15" hidden="false" customHeight="true" outlineLevel="0" collapsed="false">
      <c r="A14" s="6" t="n">
        <v>3</v>
      </c>
      <c r="B14" s="7" t="s">
        <v>22</v>
      </c>
      <c r="C14" s="8" t="n">
        <v>0</v>
      </c>
      <c r="D14" s="8" t="n">
        <v>0.22</v>
      </c>
      <c r="E14" s="9" t="n">
        <f aca="false">C14*D14</f>
        <v>0</v>
      </c>
      <c r="F14" s="10"/>
    </row>
    <row r="15" customFormat="false" ht="15" hidden="false" customHeight="true" outlineLevel="0" collapsed="false">
      <c r="A15" s="6" t="n">
        <v>4</v>
      </c>
      <c r="B15" s="7" t="s">
        <v>23</v>
      </c>
      <c r="C15" s="8" t="n">
        <v>0</v>
      </c>
      <c r="D15" s="8" t="n">
        <v>0.2</v>
      </c>
      <c r="E15" s="9" t="n">
        <f aca="false">C15*D15</f>
        <v>0</v>
      </c>
      <c r="F15" s="10"/>
    </row>
    <row r="16" customFormat="false" ht="15" hidden="false" customHeight="true" outlineLevel="0" collapsed="false">
      <c r="A16" s="6" t="n">
        <v>5</v>
      </c>
      <c r="B16" s="7" t="s">
        <v>24</v>
      </c>
      <c r="C16" s="8" t="n">
        <v>3</v>
      </c>
      <c r="D16" s="8" t="n">
        <v>0.45</v>
      </c>
      <c r="E16" s="9" t="n">
        <f aca="false">C16*D16</f>
        <v>1.35</v>
      </c>
      <c r="F16" s="10" t="s">
        <v>25</v>
      </c>
    </row>
    <row r="17" customFormat="false" ht="15" hidden="false" customHeight="true" outlineLevel="0" collapsed="false">
      <c r="A17" s="6" t="n">
        <v>6</v>
      </c>
      <c r="B17" s="7" t="s">
        <v>26</v>
      </c>
      <c r="C17" s="8" t="n">
        <v>0</v>
      </c>
      <c r="D17" s="8" t="n">
        <v>0.45</v>
      </c>
      <c r="E17" s="9" t="n">
        <f aca="false">C17*D17</f>
        <v>0</v>
      </c>
      <c r="F17" s="10"/>
    </row>
    <row r="18" customFormat="false" ht="15" hidden="false" customHeight="true" outlineLevel="0" collapsed="false">
      <c r="A18" s="6" t="n">
        <v>7</v>
      </c>
      <c r="B18" s="7" t="s">
        <v>27</v>
      </c>
      <c r="C18" s="8" t="n">
        <v>1</v>
      </c>
      <c r="D18" s="8" t="n">
        <v>0.25</v>
      </c>
      <c r="E18" s="9" t="n">
        <f aca="false">C18*D18</f>
        <v>0.25</v>
      </c>
      <c r="F18" s="10" t="s">
        <v>28</v>
      </c>
    </row>
    <row r="19" customFormat="false" ht="15" hidden="false" customHeight="true" outlineLevel="0" collapsed="false">
      <c r="A19" s="6" t="n">
        <v>8</v>
      </c>
      <c r="B19" s="7" t="s">
        <v>29</v>
      </c>
      <c r="C19" s="8" t="n">
        <v>1</v>
      </c>
      <c r="D19" s="8" t="n">
        <v>0.18</v>
      </c>
      <c r="E19" s="9" t="n">
        <f aca="false">C19*D19</f>
        <v>0.18</v>
      </c>
      <c r="F19" s="10" t="s">
        <v>30</v>
      </c>
    </row>
    <row r="20" customFormat="false" ht="15" hidden="false" customHeight="true" outlineLevel="0" collapsed="false">
      <c r="A20" s="6" t="n">
        <v>9</v>
      </c>
      <c r="B20" s="7" t="s">
        <v>31</v>
      </c>
      <c r="C20" s="8" t="n">
        <v>3</v>
      </c>
      <c r="D20" s="8" t="n">
        <v>0.12</v>
      </c>
      <c r="E20" s="9" t="n">
        <f aca="false">C20*D20</f>
        <v>0.36</v>
      </c>
      <c r="F20" s="10" t="s">
        <v>32</v>
      </c>
    </row>
    <row r="21" customFormat="false" ht="15" hidden="false" customHeight="true" outlineLevel="0" collapsed="false">
      <c r="A21" s="6" t="n">
        <v>10</v>
      </c>
      <c r="B21" s="7" t="s">
        <v>33</v>
      </c>
      <c r="C21" s="8" t="n">
        <v>2</v>
      </c>
      <c r="D21" s="8" t="n">
        <v>0.22</v>
      </c>
      <c r="E21" s="9" t="n">
        <f aca="false">C21*D21</f>
        <v>0.44</v>
      </c>
      <c r="F21" s="10" t="s">
        <v>34</v>
      </c>
    </row>
    <row r="22" customFormat="false" ht="15" hidden="false" customHeight="true" outlineLevel="0" collapsed="false">
      <c r="A22" s="6" t="n">
        <v>11</v>
      </c>
      <c r="B22" s="7" t="s">
        <v>35</v>
      </c>
      <c r="C22" s="8" t="n">
        <v>1</v>
      </c>
      <c r="D22" s="8" t="n">
        <v>0.18</v>
      </c>
      <c r="E22" s="9" t="n">
        <f aca="false">C22*D22</f>
        <v>0.18</v>
      </c>
      <c r="F22" s="10" t="s">
        <v>36</v>
      </c>
    </row>
    <row r="23" customFormat="false" ht="15" hidden="false" customHeight="true" outlineLevel="0" collapsed="false">
      <c r="A23" s="6" t="n">
        <v>12</v>
      </c>
      <c r="B23" s="7" t="s">
        <v>37</v>
      </c>
      <c r="C23" s="8" t="n">
        <v>7</v>
      </c>
      <c r="D23" s="8" t="n">
        <v>0.08</v>
      </c>
      <c r="E23" s="9" t="n">
        <f aca="false">C23*D23</f>
        <v>0.56</v>
      </c>
      <c r="F23" s="10" t="s">
        <v>38</v>
      </c>
    </row>
    <row r="24" customFormat="false" ht="15" hidden="false" customHeight="true" outlineLevel="0" collapsed="false">
      <c r="B24" s="11" t="s">
        <v>16</v>
      </c>
      <c r="E24" s="12" t="n">
        <f aca="false">SUM(E12:E23)</f>
        <v>4.47</v>
      </c>
    </row>
    <row r="25" customFormat="false" ht="15" hidden="false" customHeight="true" outlineLevel="0" collapsed="false">
      <c r="A25" s="5" t="s">
        <v>39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6" t="n">
        <v>1</v>
      </c>
      <c r="B26" s="7" t="s">
        <v>40</v>
      </c>
      <c r="C26" s="8" t="n">
        <v>1</v>
      </c>
      <c r="D26" s="8" t="n">
        <v>0.6</v>
      </c>
      <c r="E26" s="9" t="n">
        <f aca="false">C26*D26</f>
        <v>0.6</v>
      </c>
      <c r="F26" s="10" t="s">
        <v>41</v>
      </c>
    </row>
    <row r="27" customFormat="false" ht="15" hidden="false" customHeight="true" outlineLevel="0" collapsed="false">
      <c r="A27" s="6" t="n">
        <v>2</v>
      </c>
      <c r="B27" s="7" t="s">
        <v>42</v>
      </c>
      <c r="C27" s="8" t="n">
        <v>1</v>
      </c>
      <c r="D27" s="8" t="n">
        <v>0.8</v>
      </c>
      <c r="E27" s="9" t="n">
        <f aca="false">C27*D27</f>
        <v>0.8</v>
      </c>
      <c r="F27" s="10" t="s">
        <v>43</v>
      </c>
    </row>
    <row r="28" customFormat="false" ht="15" hidden="false" customHeight="true" outlineLevel="0" collapsed="false">
      <c r="A28" s="6" t="n">
        <v>3</v>
      </c>
      <c r="B28" s="7" t="s">
        <v>44</v>
      </c>
      <c r="C28" s="8" t="n">
        <v>1</v>
      </c>
      <c r="D28" s="8" t="n">
        <v>0.18</v>
      </c>
      <c r="E28" s="9" t="n">
        <f aca="false">C28*D28</f>
        <v>0.18</v>
      </c>
      <c r="F28" s="10" t="s">
        <v>45</v>
      </c>
    </row>
    <row r="29" customFormat="false" ht="26.25" hidden="false" customHeight="true" outlineLevel="0" collapsed="false">
      <c r="A29" s="6" t="n">
        <v>4</v>
      </c>
      <c r="B29" s="7" t="s">
        <v>46</v>
      </c>
      <c r="C29" s="8" t="n">
        <v>6</v>
      </c>
      <c r="D29" s="8" t="n">
        <v>0.22</v>
      </c>
      <c r="E29" s="9" t="n">
        <f aca="false">C29*D29</f>
        <v>1.32</v>
      </c>
      <c r="F29" s="10" t="s">
        <v>47</v>
      </c>
    </row>
    <row r="30" customFormat="false" ht="26.25" hidden="false" customHeight="true" outlineLevel="0" collapsed="false">
      <c r="A30" s="6" t="n">
        <v>5</v>
      </c>
      <c r="B30" s="7" t="s">
        <v>48</v>
      </c>
      <c r="C30" s="8" t="n">
        <v>2</v>
      </c>
      <c r="D30" s="8" t="n">
        <v>0.25</v>
      </c>
      <c r="E30" s="9" t="n">
        <f aca="false">C30*D30</f>
        <v>0.5</v>
      </c>
      <c r="F30" s="10" t="s">
        <v>49</v>
      </c>
    </row>
    <row r="31" customFormat="false" ht="15" hidden="false" customHeight="true" outlineLevel="0" collapsed="false">
      <c r="B31" s="11" t="s">
        <v>16</v>
      </c>
      <c r="E31" s="12" t="n">
        <f aca="false">SUM(E26:E30)</f>
        <v>3.4</v>
      </c>
    </row>
    <row r="32" customFormat="false" ht="15" hidden="false" customHeight="true" outlineLevel="0" collapsed="false">
      <c r="A32" s="5" t="s">
        <v>50</v>
      </c>
      <c r="B32" s="5"/>
      <c r="C32" s="5"/>
      <c r="D32" s="5"/>
      <c r="E32" s="5"/>
      <c r="F32" s="5"/>
    </row>
    <row r="33" customFormat="false" ht="15" hidden="false" customHeight="true" outlineLevel="0" collapsed="false">
      <c r="A33" s="6" t="n">
        <v>1</v>
      </c>
      <c r="B33" s="7" t="s">
        <v>51</v>
      </c>
      <c r="C33" s="8" t="n">
        <v>50</v>
      </c>
      <c r="D33" s="8" t="n">
        <v>0.055</v>
      </c>
      <c r="E33" s="9" t="n">
        <f aca="false">C33*D33</f>
        <v>2.75</v>
      </c>
      <c r="F33" s="10" t="s">
        <v>52</v>
      </c>
    </row>
    <row r="34" customFormat="false" ht="26.25" hidden="false" customHeight="true" outlineLevel="0" collapsed="false">
      <c r="A34" s="6" t="n">
        <v>2</v>
      </c>
      <c r="B34" s="7" t="s">
        <v>53</v>
      </c>
      <c r="C34" s="8" t="n">
        <v>50</v>
      </c>
      <c r="D34" s="8" t="n">
        <v>0.02</v>
      </c>
      <c r="E34" s="9" t="n">
        <f aca="false">C34*D34</f>
        <v>1</v>
      </c>
      <c r="F34" s="10" t="s">
        <v>54</v>
      </c>
    </row>
    <row r="35" customFormat="false" ht="15" hidden="false" customHeight="true" outlineLevel="0" collapsed="false">
      <c r="B35" s="11" t="s">
        <v>16</v>
      </c>
      <c r="E35" s="12" t="n">
        <f aca="false">SUM(E33:E34)</f>
        <v>3.75</v>
      </c>
    </row>
    <row r="36" customFormat="false" ht="15" hidden="false" customHeight="true" outlineLevel="0" collapsed="false">
      <c r="A36" s="5" t="s">
        <v>55</v>
      </c>
      <c r="B36" s="5"/>
      <c r="C36" s="5"/>
      <c r="D36" s="5"/>
      <c r="E36" s="5"/>
      <c r="F36" s="5"/>
    </row>
    <row r="37" customFormat="false" ht="15" hidden="false" customHeight="true" outlineLevel="0" collapsed="false">
      <c r="A37" s="6" t="n">
        <v>1</v>
      </c>
      <c r="B37" s="7" t="s">
        <v>56</v>
      </c>
      <c r="C37" s="8" t="n">
        <v>1</v>
      </c>
      <c r="D37" s="8" t="n">
        <v>0.5</v>
      </c>
      <c r="E37" s="9" t="n">
        <f aca="false">C37*D37</f>
        <v>0.5</v>
      </c>
      <c r="F37" s="10" t="s">
        <v>57</v>
      </c>
    </row>
    <row r="38" customFormat="false" ht="15" hidden="false" customHeight="true" outlineLevel="0" collapsed="false">
      <c r="A38" s="6" t="n">
        <v>2</v>
      </c>
      <c r="B38" s="7" t="s">
        <v>58</v>
      </c>
      <c r="C38" s="8" t="n">
        <v>6</v>
      </c>
      <c r="D38" s="8" t="n">
        <v>0.2</v>
      </c>
      <c r="E38" s="9" t="n">
        <f aca="false">C38*D38</f>
        <v>1.2</v>
      </c>
      <c r="F38" s="10" t="s">
        <v>59</v>
      </c>
    </row>
    <row r="39" customFormat="false" ht="26.25" hidden="false" customHeight="true" outlineLevel="0" collapsed="false">
      <c r="B39" s="7" t="s">
        <v>60</v>
      </c>
      <c r="C39" s="8" t="n">
        <v>3</v>
      </c>
      <c r="D39" s="6" t="s">
        <v>61</v>
      </c>
      <c r="E39" s="9" t="n">
        <f aca="false">IF(C39&gt;=2,3,C39*0.5)</f>
        <v>3</v>
      </c>
      <c r="F39" s="10" t="s">
        <v>62</v>
      </c>
    </row>
    <row r="40" customFormat="false" ht="15" hidden="false" customHeight="true" outlineLevel="0" collapsed="false">
      <c r="B40" s="11" t="s">
        <v>63</v>
      </c>
      <c r="E40" s="12" t="n">
        <f aca="false">SUM(E37:E39)</f>
        <v>4.7</v>
      </c>
    </row>
    <row r="42" customFormat="false" ht="15" hidden="false" customHeight="true" outlineLevel="0" collapsed="false">
      <c r="B42" s="13" t="s">
        <v>64</v>
      </c>
      <c r="E42" s="14" t="n">
        <f aca="false">E10+E24+E31+E35+E40</f>
        <v>19.35</v>
      </c>
    </row>
    <row r="43" customFormat="false" ht="15" hidden="false" customHeight="true" outlineLevel="0" collapsed="false">
      <c r="B43" s="15" t="s">
        <v>65</v>
      </c>
      <c r="C43" s="8" t="n">
        <v>1</v>
      </c>
      <c r="E43" s="9" t="n">
        <f aca="false">C43*E10*0.3</f>
        <v>0.909</v>
      </c>
      <c r="F43" s="16" t="s">
        <v>66</v>
      </c>
    </row>
    <row r="45" customFormat="false" ht="21.75" hidden="false" customHeight="true" outlineLevel="0" collapsed="false">
      <c r="A45" s="17" t="s">
        <v>67</v>
      </c>
      <c r="B45" s="17"/>
      <c r="C45" s="17"/>
      <c r="D45" s="17"/>
      <c r="E45" s="18" t="n">
        <f aca="false">E42+E43</f>
        <v>20.259</v>
      </c>
      <c r="F45" s="19" t="s">
        <v>68</v>
      </c>
    </row>
  </sheetData>
  <mergeCells count="8">
    <mergeCell ref="A1:F1"/>
    <mergeCell ref="A2:F2"/>
    <mergeCell ref="A5:F5"/>
    <mergeCell ref="A11:F11"/>
    <mergeCell ref="A25:F25"/>
    <mergeCell ref="A32:F32"/>
    <mergeCell ref="A36:F36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2026-06-19T13:46:20Z</dcterms:created>
  <dc:creator>openpyxl</dc:creator>
  <dc:description/>
  <dc:language>en-US</dc:language>
  <cp:lastModifiedBy/>
  <dcterms:modified xsi:type="dcterms:W3CDTF">2026-06-19T13:47:00Z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